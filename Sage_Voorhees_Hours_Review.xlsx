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-Tab Audit" sheetId="1" state="visible" r:id="rId3"/>
    <sheet name="Summary" sheetId="2" state="visible" r:id="rId4"/>
    <sheet name="Per Day" sheetId="3" state="visible" r:id="rId5"/>
    <sheet name="Per Week" sheetId="4" state="visible" r:id="rId6"/>
    <sheet name="Duplic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<sst xmlns="http://schemas.openxmlformats.org/spreadsheetml/2006/main" count="377" uniqueCount="199">
  <si>
    <t xml:space="preserve">Compiled Invoices — Error Audit (All Tabs, May 2026)</t>
  </si>
  <si>
    <t xml:space="preserve">#</t>
  </si>
  <si>
    <t xml:space="preserve">Severity</t>
  </si>
  <si>
    <t xml:space="preserve">Tab</t>
  </si>
  <si>
    <t xml:space="preserve">Location</t>
  </si>
  <si>
    <t xml:space="preserve">Issue</t>
  </si>
  <si>
    <t xml:space="preserve">$ / Hours Impact</t>
  </si>
  <si>
    <t xml:space="preserve">HIGH</t>
  </si>
  <si>
    <t xml:space="preserve">Lucas_Goren</t>
  </si>
  <si>
    <t xml:space="preserve">Row 23 (May 21, Southern Waters "Touch base")</t>
  </si>
  <si>
    <t xml:space="preserve">Line total shows $160, but 1.5 hrs × $80 = $120.</t>
  </si>
  <si>
    <t xml:space="preserve">Overstated $40</t>
  </si>
  <si>
    <t xml:space="preserve">Invoice totals</t>
  </si>
  <si>
    <t xml:space="preserve">Three conflicting totals: "Total Labor Cost" (top) = $2,240; hours imply $2,200; "INVOICE TOTAL" (bottom) = $2,120. None agree.</t>
  </si>
  <si>
    <t xml:space="preserve">Up to $120 off; what was paid ($2,120) is unexplained</t>
  </si>
  <si>
    <t xml:space="preserve">MED</t>
  </si>
  <si>
    <t xml:space="preserve">"Hours By Project" block</t>
  </si>
  <si>
    <t xml:space="preserve">Shows 26.5 hrs (CrossOrg 0 / Species 16 / Permit Tree 10.5). Actual = 27.5 hrs; the Southern Waters project (9.5 hrs) is missing entirely and CrossOrg should be 1 hr.</t>
  </si>
  <si>
    <t xml:space="preserve">Does not reconcile (-1 hr + wrong split)</t>
  </si>
  <si>
    <t xml:space="preserve">Madeline_Cahue</t>
  </si>
  <si>
    <t xml:space="preserve">"Total Labor Cost" &amp; "INVOICE TOTAL"</t>
  </si>
  <si>
    <t xml:space="preserve">Both show $3,320, but 44.5 hrs × $80 = $3,560 (line items also sum to $3,560). $3,320 equals only 41.5 hrs — looks like the May 30 entry (3 hrs) was added after the cost was set.</t>
  </si>
  <si>
    <t xml:space="preserve">Understated $240</t>
  </si>
  <si>
    <t xml:space="preserve">Rows 12 &amp; 13</t>
  </si>
  <si>
    <t xml:space="preserve">First two entries have no Date filled in.</t>
  </si>
  <si>
    <t xml:space="preserve">Missing data</t>
  </si>
  <si>
    <t xml:space="preserve">Sam_Daitzman</t>
  </si>
  <si>
    <t xml:space="preserve">"Client Breakdown" block</t>
  </si>
  <si>
    <t xml:space="preserve">Shows WLFW = 16.25 hrs / $2,160, but actual = 21.75 hrs / $3,480 (off by 5.5 hrs). Note: the invoice total $3,480 itself is correct.</t>
  </si>
  <si>
    <t xml:space="preserve">Breakdown unreconciled (-5.5 hrs)</t>
  </si>
  <si>
    <t xml:space="preserve">LOW</t>
  </si>
  <si>
    <t xml:space="preserve">"Project Breakdown" (rows 47-55) &amp; rows 26-40</t>
  </si>
  <si>
    <t xml:space="preserve">Project breakdown is all zeros (never filled in); 15 blank "Unset" template rows left in sheet.</t>
  </si>
  <si>
    <t xml:space="preserve">Clutter / incomplete</t>
  </si>
  <si>
    <t xml:space="preserve">Jecha_Goss</t>
  </si>
  <si>
    <t xml:space="preserve">"Hours By Project" block (rows 27-29)</t>
  </si>
  <si>
    <t xml:space="preserve">Shows TOTAL HOURS = 0 and lists projects (CrossOrg Mapping, Species Interactive) that are not hers — her work was "AquaCorridor Upgrade", 12 hrs. Never filled in. Invoice $960 itself is correct.</t>
  </si>
  <si>
    <t xml:space="preserve">Breakdown blank/wrong</t>
  </si>
  <si>
    <t xml:space="preserve">Overview</t>
  </si>
  <si>
    <t xml:space="preserve">Sage Voorhees, May column</t>
  </si>
  <si>
    <t xml:space="preserve">Cell contains the text "Sage Does" instead of a dollar amount — Sage’s May invoice is not entered, so it is excluded from the monthly total.</t>
  </si>
  <si>
    <t xml:space="preserve">Sage’s invoice missing from total</t>
  </si>
  <si>
    <t xml:space="preserve">Calvin "?", Genai "waiting", Justin "waiting"</t>
  </si>
  <si>
    <t xml:space="preserve">Three people show placeholder text for May, so they are excluded from the $16,740 total. The total therefore understates what is actually owed for May.</t>
  </si>
  <si>
    <t xml:space="preserve">Total understated (pending invoices)</t>
  </si>
  <si>
    <t xml:space="preserve">Name spelling</t>
  </si>
  <si>
    <t xml:space="preserve">"Jecha Gross" (Overview) vs "Jecha Goss" (tab); "Elisa Friedman" vs "Elisa Friedmann" (tab).</t>
  </si>
  <si>
    <t xml:space="preserve">Cosmetic / matching risk</t>
  </si>
  <si>
    <t xml:space="preserve">Sage_Voorhees</t>
  </si>
  <si>
    <t xml:space="preserve">Entire log</t>
  </si>
  <si>
    <t xml:space="preserve">44 line items are exact duplicates (same task entered twice, differing only in capitalization). See the Per Day / Duplicates tabs.</t>
  </si>
  <si>
    <t xml:space="preserve">Hours inflated by 43.6 (236 → 193)</t>
  </si>
  <si>
    <t xml:space="preserve">Dieter_Brehm</t>
  </si>
  <si>
    <t xml:space="preserve">May 20 appears twice (rows 18 &amp; 22)</t>
  </si>
  <si>
    <t xml:space="preserve">Both are "Slide Diagrams" (2.0 hrs and 1.0 hr). Likely two sessions, but worth confirming it is not a double entry. Otherwise this tab is clean.</t>
  </si>
  <si>
    <t xml:space="preserve">Verify (≤1 hr if error)</t>
  </si>
  <si>
    <t xml:space="preserve">Severity key:  HIGH = affects an invoice $ amount or a real total.  MED = internal block doesn’t reconcile / missing data.  LOW = cosmetic or template clutter.</t>
  </si>
  <si>
    <t xml:space="preserve">Sage Voorhees — Hours Review (May 2026)</t>
  </si>
  <si>
    <t xml:space="preserve">Total hours as logged</t>
  </si>
  <si>
    <t xml:space="preserve">Duplicate hours (same task logged twice)</t>
  </si>
  <si>
    <t xml:space="preserve">Corrected total (duplicates removed)</t>
  </si>
  <si>
    <t xml:space="preserve">Number of duplicate line items</t>
  </si>
  <si>
    <t xml:space="preserve">Total line items</t>
  </si>
  <si>
    <t xml:space="preserve">The duplicates are the same task entered twice, differing only by capitalization in the Notes (e.g. "Meet with sam" vs "Meet with Sam"). See the Duplicates tab.</t>
  </si>
  <si>
    <t xml:space="preserve">Date</t>
  </si>
  <si>
    <t xml:space="preserve">Weekday</t>
  </si>
  <si>
    <t xml:space="preserve">Hours as Logged</t>
  </si>
  <si>
    <t xml:space="preserve">Duplicate Hours</t>
  </si>
  <si>
    <t xml:space="preserve">Corrected Hours</t>
  </si>
  <si>
    <t xml:space="preserve">Flag (&gt;14h logged)</t>
  </si>
  <si>
    <t xml:space="preserve">2026-05-01</t>
  </si>
  <si>
    <t xml:space="preserve">Fri</t>
  </si>
  <si>
    <t xml:space="preserve">2026-05-03</t>
  </si>
  <si>
    <t xml:space="preserve">Sun</t>
  </si>
  <si>
    <t xml:space="preserve">2026-05-04</t>
  </si>
  <si>
    <t xml:space="preserve">Mon</t>
  </si>
  <si>
    <t xml:space="preserve">⚠ HIGH</t>
  </si>
  <si>
    <t xml:space="preserve">2026-05-05</t>
  </si>
  <si>
    <t xml:space="preserve">Tue</t>
  </si>
  <si>
    <t xml:space="preserve">2026-05-06</t>
  </si>
  <si>
    <t xml:space="preserve">Wed</t>
  </si>
  <si>
    <t xml:space="preserve">2026-05-07</t>
  </si>
  <si>
    <t xml:space="preserve">Thu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</si>
  <si>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</si>
  <si>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</si>
  <si>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</si>
  <si>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</si>
  <si>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</si>
  <si>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</si>
  <si>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</si>
  <si>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</si>
  <si>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</si>
  <si>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</si>
  <si>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</si>
  <si>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</si>
  <si>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</si>
  <si>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</si>
  <si>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</si>
  <si>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</si>
  <si>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</si>
  <si>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TOTAL</t>
  </si>
  <si>
    <t xml:space="preserve">Week (ISO #)</t>
  </si>
  <si>
    <t xml:space="preserve">Date Range</t>
  </si>
  <si>
    <t xml:space="preserve">May 01 – May 03</t>
  </si>
  <si>
    <t xml:space="preserve">May 04 – May 08</t>
  </si>
  <si>
    <t xml:space="preserve">May 11 – May 17</t>
  </si>
  <si>
    <t xml:space="preserve">May 18 – May 22</t>
  </si>
  <si>
    <t xml:space="preserve">May 25 – May 29</t>
  </si>
  <si>
    <t xml:space="preserve">Category</t>
  </si>
  <si>
    <t xml:space="preserve">Line Item</t>
  </si>
  <si>
    <t xml:space="preserve">Task</t>
  </si>
  <si>
    <t xml:space="preserve">Notes</t>
  </si>
  <si>
    <t xml:space="preserve">Hours</t>
  </si>
  <si>
    <t xml:space="preserve">Duplicate of Row</t>
  </si>
  <si>
    <t xml:space="preserve">This Row</t>
  </si>
  <si>
    <t xml:space="preserve">AQUATIC FRAMEWORK</t>
  </si>
  <si>
    <t xml:space="preserve">Webinar and Workshop Support</t>
  </si>
  <si>
    <t xml:space="preserve">HELENE Workshops</t>
  </si>
  <si>
    <t xml:space="preserve">Meet with Madeleine</t>
  </si>
  <si>
    <t xml:space="preserve">BACK-END HOSTING/SUPPORT</t>
  </si>
  <si>
    <t xml:space="preserve">Server/Software updates &amp; security updates on LP and Learning Network.</t>
  </si>
  <si>
    <t xml:space="preserve">Plone Architactural Upgrade 4.2 to 6</t>
  </si>
  <si>
    <t xml:space="preserve">Prep for Sam Meeting</t>
  </si>
  <si>
    <t xml:space="preserve">Meet with Sam</t>
  </si>
  <si>
    <t xml:space="preserve">PROJECT MANAGEMENT</t>
  </si>
  <si>
    <t xml:space="preserve">Administration, Project Management, Analytics, R&amp;D, Review and Strategy Planning.</t>
  </si>
  <si>
    <t xml:space="preserve">FL Billing/Invoicing for Team</t>
  </si>
  <si>
    <t xml:space="preserve">end of month finances (PA)</t>
  </si>
  <si>
    <t xml:space="preserve">Prep Meeting for All Partners</t>
  </si>
  <si>
    <t xml:space="preserve">Edit Woody Debris</t>
  </si>
  <si>
    <t xml:space="preserve">SE FireMap &amp; Wildfire</t>
  </si>
  <si>
    <t xml:space="preserve">SE FireMap Presentation</t>
  </si>
  <si>
    <t xml:space="preserve">SE FireMap Public/Partner Release</t>
  </si>
  <si>
    <t xml:space="preserve">Follow Up With Team About Release</t>
  </si>
  <si>
    <t xml:space="preserve">Framework Visuals and Posters</t>
  </si>
  <si>
    <t xml:space="preserve">PLE/PLB Materials</t>
  </si>
  <si>
    <t xml:space="preserve">Sign Laura Contract</t>
  </si>
  <si>
    <t xml:space="preserve">Aqua Corridors Tool Suite</t>
  </si>
  <si>
    <t xml:space="preserve">AquaCorridors Tool Suite Upgrades</t>
  </si>
  <si>
    <t xml:space="preserve">Meet with Jecha</t>
  </si>
  <si>
    <t xml:space="preserve">GRASSLANDS FRAMEWORK/BOBWHITE INITIATIVE</t>
  </si>
  <si>
    <t xml:space="preserve">Citizen Science Application</t>
  </si>
  <si>
    <t xml:space="preserve">BOBSCAPES Map Upgrade</t>
  </si>
  <si>
    <t xml:space="preserve">Check on Bobscapes</t>
  </si>
  <si>
    <t xml:space="preserve">Work with Sam on Plone Upgrade</t>
  </si>
  <si>
    <t xml:space="preserve">DECIDUOUS FOREST FRAMEWORK/GWWA INITIATIVE</t>
  </si>
  <si>
    <t xml:space="preserve">Framework Development</t>
  </si>
  <si>
    <t xml:space="preserve">Startup Work on Deciduous Forests</t>
  </si>
  <si>
    <t xml:space="preserve">Rewrite Ron Email</t>
  </si>
  <si>
    <t xml:space="preserve">LP-ANCHOR</t>
  </si>
  <si>
    <t xml:space="preserve">ANCHOR Map Upgrade</t>
  </si>
  <si>
    <t xml:space="preserve">Write Up Rough Scope of Work with Matt</t>
  </si>
  <si>
    <t xml:space="preserve">Data Collection and Processing, For Coordinating Aquatic Framework</t>
  </si>
  <si>
    <t xml:space="preserve">Landowner Willingness Modeling</t>
  </si>
  <si>
    <t xml:space="preserve">Landowner Willingness Group</t>
  </si>
  <si>
    <t xml:space="preserve">Rewrite Email Ron/Jeff</t>
  </si>
  <si>
    <t xml:space="preserve">Send Matt Info</t>
  </si>
  <si>
    <t xml:space="preserve">Wesbiste Architectural Upgrade Changes</t>
  </si>
  <si>
    <t xml:space="preserve">Message David</t>
  </si>
  <si>
    <t xml:space="preserve">WLFW - COMMS</t>
  </si>
  <si>
    <t xml:space="preserve">Frameworks || Comms Strategy And Support</t>
  </si>
  <si>
    <t xml:space="preserve">State NRCS Resources</t>
  </si>
  <si>
    <t xml:space="preserve">Meet with Sam to work on Web/Print Prototypes</t>
  </si>
  <si>
    <t xml:space="preserve">Prep Workshop for Prototype meetings</t>
  </si>
  <si>
    <t xml:space="preserve">Prep Prototypes Prior Meeting with Sam</t>
  </si>
  <si>
    <t xml:space="preserve">All-Partners Meeting</t>
  </si>
  <si>
    <t xml:space="preserve">Writeup Directions for Jecha</t>
  </si>
  <si>
    <t xml:space="preserve">Respond Christine</t>
  </si>
  <si>
    <t xml:space="preserve">FL Admin Tasks</t>
  </si>
  <si>
    <t xml:space="preserve">Finish Hours today</t>
  </si>
  <si>
    <t xml:space="preserve">Work on AquaCorridors Upgrade, Prep for Jecha</t>
  </si>
  <si>
    <t xml:space="preserve">Framework Development and Presentation</t>
  </si>
  <si>
    <t xml:space="preserve">Southern Waters Framework Diagrams</t>
  </si>
  <si>
    <t xml:space="preserve">Read Framework, Drawing ideas for Laura</t>
  </si>
  <si>
    <t xml:space="preserve">Meeting on NC Schools, Sam Registration</t>
  </si>
  <si>
    <t xml:space="preserve">Framework Presentation</t>
  </si>
  <si>
    <t xml:space="preserve">Grassland Site Upgrades / Interactives</t>
  </si>
  <si>
    <t xml:space="preserve">Soil Health In A Minute</t>
  </si>
  <si>
    <t xml:space="preserve">Meet Laura</t>
  </si>
  <si>
    <t xml:space="preserve">Ask Erick Species Sticker</t>
  </si>
  <si>
    <t xml:space="preserve">Send Material to Dieter</t>
  </si>
  <si>
    <t xml:space="preserve">Plone Upgrade Discussion: David, Sam, Rose</t>
  </si>
  <si>
    <t xml:space="preserve">First Pass (with Claude) of Framework Diagrams</t>
  </si>
  <si>
    <t xml:space="preserve">Aquatics Photo Blitz</t>
  </si>
  <si>
    <t xml:space="preserve">Prep, Meet and Follow Up: Meeting with Genai and Madeleine to Gather photos. Get input from Sam</t>
  </si>
  <si>
    <t xml:space="preserve">Decision Tree for Stream Restoration</t>
  </si>
  <si>
    <t xml:space="preserve">Meet with Lucas, Have Ellie/Lucas begin the Decision Tree Development Materials</t>
  </si>
  <si>
    <t xml:space="preserve">Spring Quarterly Meeting with Georgia Team</t>
  </si>
  <si>
    <t xml:space="preserve">Book Shuttle</t>
  </si>
  <si>
    <t xml:space="preserve">Meet Justin Jecha</t>
  </si>
  <si>
    <t xml:space="preserve">Book Hotel</t>
  </si>
  <si>
    <t xml:space="preserve">Bird Locale Feature Development, Research and App Replication</t>
  </si>
  <si>
    <t xml:space="preserve">Bird Locale Maintenance Following Upgrades</t>
  </si>
  <si>
    <t xml:space="preserve">Reach out to Sarah Jacboson</t>
  </si>
  <si>
    <t xml:space="preserve">Travel to Georgia</t>
  </si>
  <si>
    <t xml:space="preserve">Follow Up On Team</t>
  </si>
  <si>
    <t xml:space="preserve">Invoices Step 2</t>
  </si>
  <si>
    <t xml:space="preserve">Add Calvin to Invoice</t>
  </si>
  <si>
    <t xml:space="preserve">Total duplicate hours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</si>
</sst>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42" hidden="false" customHeight="true" outlineLevel="0" collapsed="false">
      <c r="A4" s="3" t="n">
        <v>1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customFormat="false" ht="42" hidden="false" customHeight="true" outlineLevel="0" collapsed="false">
      <c r="A5" s="3" t="n">
        <v>2</v>
      </c>
      <c r="B5" s="4" t="s">
        <v>7</v>
      </c>
      <c r="C5" s="5" t="s">
        <v>8</v>
      </c>
      <c r="D5" s="5" t="s">
        <v>12</v>
      </c>
      <c r="E5" s="5" t="s">
        <v>13</v>
      </c>
      <c r="F5" s="5" t="s">
        <v>14</v>
      </c>
    </row>
    <row r="6" customFormat="false" ht="42" hidden="false" customHeight="true" outlineLevel="0" collapsed="false">
      <c r="A6" s="3" t="n">
        <v>3</v>
      </c>
      <c r="B6" s="6" t="s">
        <v>15</v>
      </c>
      <c r="C6" s="5" t="s">
        <v>8</v>
      </c>
      <c r="D6" s="5" t="s">
        <v>16</v>
      </c>
      <c r="E6" s="5" t="s">
        <v>17</v>
      </c>
      <c r="F6" s="5" t="s">
        <v>18</v>
      </c>
    </row>
    <row r="7" customFormat="false" ht="42" hidden="false" customHeight="true" outlineLevel="0" collapsed="false">
      <c r="A7" s="3" t="n">
        <v>4</v>
      </c>
      <c r="B7" s="4" t="s">
        <v>7</v>
      </c>
      <c r="C7" s="5" t="s">
        <v>19</v>
      </c>
      <c r="D7" s="5" t="s">
        <v>20</v>
      </c>
      <c r="E7" s="5" t="s">
        <v>21</v>
      </c>
      <c r="F7" s="5" t="s">
        <v>22</v>
      </c>
    </row>
    <row r="8" customFormat="false" ht="42" hidden="false" customHeight="true" outlineLevel="0" collapsed="false">
      <c r="A8" s="3" t="n">
        <v>5</v>
      </c>
      <c r="B8" s="6" t="s">
        <v>15</v>
      </c>
      <c r="C8" s="5" t="s">
        <v>19</v>
      </c>
      <c r="D8" s="5" t="s">
        <v>23</v>
      </c>
      <c r="E8" s="5" t="s">
        <v>24</v>
      </c>
      <c r="F8" s="5" t="s">
        <v>25</v>
      </c>
    </row>
    <row r="9" customFormat="false" ht="42" hidden="false" customHeight="true" outlineLevel="0" collapsed="false">
      <c r="A9" s="3" t="n">
        <v>6</v>
      </c>
      <c r="B9" s="6" t="s">
        <v>15</v>
      </c>
      <c r="C9" s="5" t="s">
        <v>26</v>
      </c>
      <c r="D9" s="5" t="s">
        <v>27</v>
      </c>
      <c r="E9" s="5" t="s">
        <v>28</v>
      </c>
      <c r="F9" s="5" t="s">
        <v>29</v>
      </c>
    </row>
    <row r="10" customFormat="false" ht="42" hidden="false" customHeight="true" outlineLevel="0" collapsed="false">
      <c r="A10" s="3" t="n">
        <v>7</v>
      </c>
      <c r="B10" s="7" t="s">
        <v>30</v>
      </c>
      <c r="C10" s="5" t="s">
        <v>26</v>
      </c>
      <c r="D10" s="5" t="s">
        <v>31</v>
      </c>
      <c r="E10" s="5" t="s">
        <v>32</v>
      </c>
      <c r="F10" s="5" t="s">
        <v>33</v>
      </c>
    </row>
    <row r="11" customFormat="false" ht="42" hidden="false" customHeight="true" outlineLevel="0" collapsed="false">
      <c r="A11" s="3" t="n">
        <v>8</v>
      </c>
      <c r="B11" s="6" t="s">
        <v>15</v>
      </c>
      <c r="C11" s="5" t="s">
        <v>34</v>
      </c>
      <c r="D11" s="5" t="s">
        <v>35</v>
      </c>
      <c r="E11" s="5" t="s">
        <v>36</v>
      </c>
      <c r="F11" s="5" t="s">
        <v>37</v>
      </c>
    </row>
    <row r="12" customFormat="false" ht="42" hidden="false" customHeight="true" outlineLevel="0" collapsed="false">
      <c r="A12" s="3" t="n">
        <v>9</v>
      </c>
      <c r="B12" s="4" t="s">
        <v>7</v>
      </c>
      <c r="C12" s="5" t="s">
        <v>38</v>
      </c>
      <c r="D12" s="5" t="s">
        <v>39</v>
      </c>
      <c r="E12" s="5" t="s">
        <v>40</v>
      </c>
      <c r="F12" s="5" t="s">
        <v>41</v>
      </c>
    </row>
    <row r="13" customFormat="false" ht="42" hidden="false" customHeight="true" outlineLevel="0" collapsed="false">
      <c r="A13" s="3" t="n">
        <v>10</v>
      </c>
      <c r="B13" s="6" t="s">
        <v>15</v>
      </c>
      <c r="C13" s="5" t="s">
        <v>38</v>
      </c>
      <c r="D13" s="5" t="s">
        <v>42</v>
      </c>
      <c r="E13" s="5" t="s">
        <v>43</v>
      </c>
      <c r="F13" s="5" t="s">
        <v>44</v>
      </c>
    </row>
    <row r="14" customFormat="false" ht="42" hidden="false" customHeight="true" outlineLevel="0" collapsed="false">
      <c r="A14" s="3" t="n">
        <v>11</v>
      </c>
      <c r="B14" s="7" t="s">
        <v>30</v>
      </c>
      <c r="C14" s="5" t="s">
        <v>38</v>
      </c>
      <c r="D14" s="5" t="s">
        <v>45</v>
      </c>
      <c r="E14" s="5" t="s">
        <v>46</v>
      </c>
      <c r="F14" s="5" t="s">
        <v>47</v>
      </c>
    </row>
    <row r="15" customFormat="false" ht="42" hidden="false" customHeight="true" outlineLevel="0" collapsed="false">
      <c r="A15" s="3" t="n">
        <v>12</v>
      </c>
      <c r="B15" s="4" t="s">
        <v>7</v>
      </c>
      <c r="C15" s="5" t="s">
        <v>48</v>
      </c>
      <c r="D15" s="5" t="s">
        <v>49</v>
      </c>
      <c r="E15" s="5" t="s">
        <v>50</v>
      </c>
      <c r="F15" s="5" t="s">
        <v>51</v>
      </c>
    </row>
    <row r="16" customFormat="false" ht="42" hidden="false" customHeight="true" outlineLevel="0" collapsed="false">
      <c r="A16" s="3" t="n">
        <v>13</v>
      </c>
      <c r="B16" s="7" t="s">
        <v>30</v>
      </c>
      <c r="C16" s="5" t="s">
        <v>52</v>
      </c>
      <c r="D16" s="5" t="s">
        <v>53</v>
      </c>
      <c r="E16" s="5" t="s">
        <v>54</v>
      </c>
      <c r="F16" s="5" t="s">
        <v>55</v>
      </c>
    </row>
    <row r="18" customFormat="false" ht="15" hidden="false" customHeight="false" outlineLevel="0" collapsed="false">
      <c r="A18" s="8" t="s">
        <v>56</v>
      </c>
      <c r="B18" s="8"/>
      <c r="C18" s="8"/>
      <c r="D18" s="8"/>
      <c r="E18" s="8"/>
      <c r="F18" s="8"/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42"/>
    <col collapsed="false" customWidth="true" hidden="false" outlineLevel="0" max="2" min="2" style="9" width="14"/>
  </cols>
  <sheetData>
    <row r="1" customFormat="false" ht="17.25" hidden="false" customHeight="true" outlineLevel="0" collapsed="false">
      <c r="A1" s="10" t="s">
        <v>57</v>
      </c>
    </row>
    <row r="3" customFormat="false" ht="15" hidden="false" customHeight="true" outlineLevel="0" collapsed="false">
      <c r="A3" s="11" t="s">
        <v>58</v>
      </c>
      <c r="B3" s="12" t="n">
        <v>236.24</v>
      </c>
    </row>
    <row r="4" customFormat="false" ht="15" hidden="false" customHeight="true" outlineLevel="0" collapsed="false">
      <c r="A4" s="11" t="s">
        <v>59</v>
      </c>
      <c r="B4" s="12" t="n">
        <v>43.58</v>
      </c>
    </row>
    <row r="5" customFormat="false" ht="15" hidden="false" customHeight="true" outlineLevel="0" collapsed="false">
      <c r="A5" s="11" t="s">
        <v>60</v>
      </c>
      <c r="B5" s="12" t="n">
        <v>192.66</v>
      </c>
    </row>
    <row r="6" customFormat="false" ht="15" hidden="false" customHeight="true" outlineLevel="0" collapsed="false">
      <c r="A6" s="11" t="s">
        <v>61</v>
      </c>
      <c r="B6" s="12" t="n">
        <v>44</v>
      </c>
    </row>
    <row r="7" customFormat="false" ht="15" hidden="false" customHeight="true" outlineLevel="0" collapsed="false">
      <c r="A7" s="11" t="s">
        <v>62</v>
      </c>
      <c r="B7" s="12" t="n">
        <v>200</v>
      </c>
    </row>
    <row r="8" customFormat="false" ht="15" hidden="false" customHeight="true" outlineLevel="0" collapsed="false">
      <c r="A8" s="13"/>
    </row>
    <row r="10" customFormat="false" ht="15" hidden="false" customHeight="true" outlineLevel="0" collapsed="false">
      <c r="A10" s="14" t="s">
        <v>63</v>
      </c>
      <c r="B10" s="14"/>
      <c r="C10" s="14"/>
      <c r="D10" s="14"/>
      <c r="E10" s="14"/>
    </row>
    <row r="11" customFormat="false" ht="15" hidden="false" customHeight="true" outlineLevel="0" collapsed="false">
      <c r="A11" s="14"/>
      <c r="B11" s="14"/>
      <c r="C11" s="14"/>
      <c r="D11" s="14"/>
      <c r="E11" s="14"/>
    </row>
    <row r="12" customFormat="false" ht="15" hidden="false" customHeight="true" outlineLevel="0" collapsed="false">
      <c r="A12" s="14"/>
      <c r="B12" s="14"/>
      <c r="C12" s="14"/>
      <c r="D12" s="14"/>
      <c r="E12" s="14"/>
    </row>
  </sheetData>
  <mergeCells count="1">
    <mergeCell ref="A10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13"/>
    <col collapsed="false" customWidth="true" hidden="false" outlineLevel="0" max="2" min="2" style="9" width="10"/>
    <col collapsed="false" customWidth="true" hidden="false" outlineLevel="0" max="3" min="3" style="9" width="18"/>
    <col collapsed="false" customWidth="true" hidden="false" outlineLevel="0" max="5" min="4" style="9" width="16"/>
    <col collapsed="false" customWidth="true" hidden="false" outlineLevel="0" max="6" min="6" style="9" width="18"/>
  </cols>
  <sheetData>
    <row r="1" customFormat="false" ht="15" hidden="false" customHeight="true" outlineLevel="0" collapsed="false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</row>
    <row r="2" customFormat="false" ht="15" hidden="false" customHeight="true" outlineLevel="0" collapsed="false">
      <c r="A2" s="16" t="s">
        <v>70</v>
      </c>
      <c r="B2" s="16" t="s">
        <v>71</v>
      </c>
      <c r="C2" s="16" t="n">
        <v>10.25</v>
      </c>
      <c r="D2" s="16" t="n">
        <v>5</v>
      </c>
      <c r="E2" s="16" t="n">
        <v>5.25</v>
      </c>
      <c r="F2" s="17"/>
    </row>
    <row r="3" customFormat="false" ht="15" hidden="false" customHeight="true" outlineLevel="0" collapsed="false">
      <c r="A3" s="16" t="s">
        <v>72</v>
      </c>
      <c r="B3" s="16" t="s">
        <v>73</v>
      </c>
      <c r="C3" s="16" t="n">
        <v>0.5</v>
      </c>
      <c r="D3" s="16" t="n">
        <v>0.25</v>
      </c>
      <c r="E3" s="16" t="n">
        <v>0.25</v>
      </c>
      <c r="F3" s="17"/>
    </row>
    <row r="4" customFormat="false" ht="15" hidden="false" customHeight="true" outlineLevel="0" collapsed="false">
      <c r="A4" s="18" t="s">
        <v>74</v>
      </c>
      <c r="B4" s="18" t="s">
        <v>75</v>
      </c>
      <c r="C4" s="18" t="n">
        <v>15.75</v>
      </c>
      <c r="D4" s="18" t="n">
        <v>5.25</v>
      </c>
      <c r="E4" s="18" t="n">
        <v>10.5</v>
      </c>
      <c r="F4" s="19" t="s">
        <v>76</v>
      </c>
    </row>
    <row r="5" customFormat="false" ht="15" hidden="false" customHeight="true" outlineLevel="0" collapsed="false">
      <c r="A5" s="18" t="s">
        <v>77</v>
      </c>
      <c r="B5" s="18" t="s">
        <v>78</v>
      </c>
      <c r="C5" s="18" t="n">
        <v>15.5</v>
      </c>
      <c r="D5" s="18" t="n">
        <v>3.25</v>
      </c>
      <c r="E5" s="18" t="n">
        <v>12.25</v>
      </c>
      <c r="F5" s="19" t="s">
        <v>76</v>
      </c>
    </row>
    <row r="6" customFormat="false" ht="15" hidden="false" customHeight="true" outlineLevel="0" collapsed="false">
      <c r="A6" s="16" t="s">
        <v>79</v>
      </c>
      <c r="B6" s="16" t="s">
        <v>80</v>
      </c>
      <c r="C6" s="16" t="n">
        <v>14</v>
      </c>
      <c r="D6" s="16" t="n">
        <v>6.75</v>
      </c>
      <c r="E6" s="16" t="n">
        <v>7.25</v>
      </c>
      <c r="F6" s="17"/>
    </row>
    <row r="7" customFormat="false" ht="15" hidden="false" customHeight="true" outlineLevel="0" collapsed="false">
      <c r="A7" s="18" t="s">
        <v>81</v>
      </c>
      <c r="B7" s="18" t="s">
        <v>82</v>
      </c>
      <c r="C7" s="18" t="n">
        <v>19</v>
      </c>
      <c r="D7" s="18" t="n">
        <v>6.25</v>
      </c>
      <c r="E7" s="18" t="n">
        <v>12.75</v>
      </c>
      <c r="F7" s="19" t="s">
        <v>76</v>
      </c>
    </row>
    <row r="8" customFormat="false" ht="15" hidden="false" customHeight="true" outlineLevel="0" collapsed="false">
      <c r="A8" s="18" t="s">
        <v>83</v>
      </c>
      <c r="B8" s="18" t="s">
        <v>71</v>
      </c>
      <c r="C8" s="18" t="n">
        <v>17.5</v>
      </c>
      <c r="D8" s="18" t="n">
        <v>5.25</v>
      </c>
      <c r="E8" s="18" t="n">
        <v>12.25</v>
      </c>
      <c r="F8" s="19" t="s">
        <v>76</v>
      </c>
    </row>
    <row r="9" customFormat="false" ht="15" hidden="false" customHeight="true" outlineLevel="0" collapsed="false">
      <c r="A9" s="18" t="s">
        <v>84</v>
      </c>
      <c r="B9" s="18" t="s">
        <v>75</v>
      </c>
      <c r="C9" s="18" t="n">
        <v>24</v>
      </c>
      <c r="D9" s="18" t="n">
        <v>5</v>
      </c>
      <c r="E9" s="18" t="n">
        <v>19</v>
      </c>
      <c r="F9" s="19" t="s">
        <v>76</v>
      </c>
    </row>
    <row r="10" customFormat="false" ht="15" hidden="false" customHeight="true" outlineLevel="0" collapsed="false">
      <c r="A10" s="16" t="s">
        <v>85</v>
      </c>
      <c r="B10" s="16" t="s">
        <v>78</v>
      </c>
      <c r="C10" s="16" t="n">
        <v>10.25</v>
      </c>
      <c r="D10" s="16" t="n">
        <v>1.25</v>
      </c>
      <c r="E10" s="16" t="n">
        <v>9</v>
      </c>
      <c r="F10" s="17"/>
    </row>
    <row r="11" customFormat="false" ht="15" hidden="false" customHeight="true" outlineLevel="0" collapsed="false">
      <c r="A11" s="18" t="s">
        <v>86</v>
      </c>
      <c r="B11" s="18" t="s">
        <v>80</v>
      </c>
      <c r="C11" s="18" t="n">
        <v>21</v>
      </c>
      <c r="D11" s="18" t="n">
        <v>4.5</v>
      </c>
      <c r="E11" s="18" t="n">
        <v>16.5</v>
      </c>
      <c r="F11" s="19" t="s">
        <v>76</v>
      </c>
    </row>
    <row r="12" customFormat="false" ht="15" hidden="false" customHeight="true" outlineLevel="0" collapsed="false">
      <c r="A12" s="16" t="s">
        <v>87</v>
      </c>
      <c r="B12" s="16" t="s">
        <v>82</v>
      </c>
      <c r="C12" s="16" t="n">
        <v>8</v>
      </c>
      <c r="D12" s="16" t="n">
        <v>0</v>
      </c>
      <c r="E12" s="16" t="n">
        <v>8</v>
      </c>
      <c r="F12" s="17"/>
    </row>
    <row r="13" customFormat="false" ht="15" hidden="false" customHeight="true" outlineLevel="0" collapsed="false">
      <c r="A13" s="16" t="s">
        <v>88</v>
      </c>
      <c r="B13" s="16" t="s">
        <v>71</v>
      </c>
      <c r="C13" s="16" t="n">
        <v>8</v>
      </c>
      <c r="D13" s="16" t="n">
        <v>0</v>
      </c>
      <c r="E13" s="16" t="n">
        <v>8</v>
      </c>
      <c r="F13" s="17"/>
    </row>
    <row r="14" customFormat="false" ht="15" hidden="false" customHeight="true" outlineLevel="0" collapsed="false">
      <c r="A14" s="16" t="s">
        <v>89</v>
      </c>
      <c r="B14" s="16" t="s">
        <v>73</v>
      </c>
      <c r="C14" s="16" t="n">
        <v>1</v>
      </c>
      <c r="D14" s="16" t="n">
        <v>0.5</v>
      </c>
      <c r="E14" s="16" t="n">
        <v>0.5</v>
      </c>
      <c r="F14" s="17"/>
    </row>
    <row r="15" customFormat="false" ht="15" hidden="false" customHeight="true" outlineLevel="0" collapsed="false">
      <c r="A15" s="16" t="s">
        <v>90</v>
      </c>
      <c r="B15" s="16" t="s">
        <v>75</v>
      </c>
      <c r="C15" s="16" t="n">
        <v>8.99</v>
      </c>
      <c r="D15" s="16" t="n">
        <v>0.33</v>
      </c>
      <c r="E15" s="16" t="n">
        <v>8.66</v>
      </c>
      <c r="F15" s="17"/>
    </row>
    <row r="16" customFormat="false" ht="15" hidden="false" customHeight="true" outlineLevel="0" collapsed="false">
      <c r="A16" s="16" t="s">
        <v>91</v>
      </c>
      <c r="B16" s="16" t="s">
        <v>78</v>
      </c>
      <c r="C16" s="16" t="n">
        <v>7.5</v>
      </c>
      <c r="D16" s="16" t="n">
        <v>0</v>
      </c>
      <c r="E16" s="16" t="n">
        <v>7.5</v>
      </c>
      <c r="F16" s="17"/>
    </row>
    <row r="17" customFormat="false" ht="15" hidden="false" customHeight="true" outlineLevel="0" collapsed="false">
      <c r="A17" s="16" t="s">
        <v>92</v>
      </c>
      <c r="B17" s="16" t="s">
        <v>80</v>
      </c>
      <c r="C17" s="16" t="n">
        <v>8.5</v>
      </c>
      <c r="D17" s="16" t="n">
        <v>0</v>
      </c>
      <c r="E17" s="16" t="n">
        <v>8.5</v>
      </c>
      <c r="F17" s="17"/>
    </row>
    <row r="18" customFormat="false" ht="15" hidden="false" customHeight="true" outlineLevel="0" collapsed="false">
      <c r="A18" s="16" t="s">
        <v>93</v>
      </c>
      <c r="B18" s="16" t="s">
        <v>82</v>
      </c>
      <c r="C18" s="16" t="n">
        <v>7.5</v>
      </c>
      <c r="D18" s="16" t="n">
        <v>0</v>
      </c>
      <c r="E18" s="16" t="n">
        <v>7.5</v>
      </c>
      <c r="F18" s="17"/>
    </row>
    <row r="19" customFormat="false" ht="15" hidden="false" customHeight="true" outlineLevel="0" collapsed="false">
      <c r="A19" s="16" t="s">
        <v>94</v>
      </c>
      <c r="B19" s="16" t="s">
        <v>71</v>
      </c>
      <c r="C19" s="16" t="n">
        <v>9</v>
      </c>
      <c r="D19" s="16" t="n">
        <v>0</v>
      </c>
      <c r="E19" s="16" t="n">
        <v>9</v>
      </c>
      <c r="F19" s="17"/>
    </row>
    <row r="20" customFormat="false" ht="15" hidden="false" customHeight="true" outlineLevel="0" collapsed="false">
      <c r="A20" s="16" t="s">
        <v>95</v>
      </c>
      <c r="B20" s="16" t="s">
        <v>75</v>
      </c>
      <c r="C20" s="16" t="n">
        <v>2</v>
      </c>
      <c r="D20" s="16" t="n">
        <v>0</v>
      </c>
      <c r="E20" s="16" t="n">
        <v>2</v>
      </c>
      <c r="F20" s="17"/>
    </row>
    <row r="21" customFormat="false" ht="15" hidden="false" customHeight="true" outlineLevel="0" collapsed="false">
      <c r="A21" s="16" t="s">
        <v>96</v>
      </c>
      <c r="B21" s="16" t="s">
        <v>78</v>
      </c>
      <c r="C21" s="16" t="n">
        <v>7</v>
      </c>
      <c r="D21" s="16" t="n">
        <v>0</v>
      </c>
      <c r="E21" s="16" t="n">
        <v>7</v>
      </c>
      <c r="F21" s="17"/>
    </row>
    <row r="22" customFormat="false" ht="15" hidden="false" customHeight="true" outlineLevel="0" collapsed="false">
      <c r="A22" s="16" t="s">
        <v>97</v>
      </c>
      <c r="B22" s="16" t="s">
        <v>80</v>
      </c>
      <c r="C22" s="16" t="n">
        <v>7</v>
      </c>
      <c r="D22" s="16" t="n">
        <v>0</v>
      </c>
      <c r="E22" s="16" t="n">
        <v>7</v>
      </c>
      <c r="F22" s="17"/>
    </row>
    <row r="23" customFormat="false" ht="15" hidden="false" customHeight="true" outlineLevel="0" collapsed="false">
      <c r="A23" s="16" t="s">
        <v>98</v>
      </c>
      <c r="B23" s="16" t="s">
        <v>82</v>
      </c>
      <c r="C23" s="16" t="n">
        <v>7</v>
      </c>
      <c r="D23" s="16" t="n">
        <v>0</v>
      </c>
      <c r="E23" s="16" t="n">
        <v>7</v>
      </c>
      <c r="F23" s="17"/>
    </row>
    <row r="24" customFormat="false" ht="15" hidden="false" customHeight="true" outlineLevel="0" collapsed="false">
      <c r="A24" s="16" t="s">
        <v>99</v>
      </c>
      <c r="B24" s="16" t="s">
        <v>71</v>
      </c>
      <c r="C24" s="16" t="n">
        <v>7</v>
      </c>
      <c r="D24" s="16" t="n">
        <v>0</v>
      </c>
      <c r="E24" s="16" t="n">
        <v>7</v>
      </c>
      <c r="F24" s="17"/>
    </row>
    <row r="25" customFormat="false" ht="15" hidden="false" customHeight="true" outlineLevel="0" collapsed="false">
      <c r="A25" s="20" t="s">
        <v>100</v>
      </c>
      <c r="B25" s="21"/>
      <c r="C25" s="20" t="n">
        <f aca="false">SUM(C2:C24)</f>
        <v>236.24</v>
      </c>
      <c r="D25" s="20" t="n">
        <f aca="false">SUM(D2:D24)</f>
        <v>43.58</v>
      </c>
      <c r="E25" s="20" t="n">
        <f aca="false">SUM(E2:E24)</f>
        <v>192.66</v>
      </c>
      <c r="F2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22"/>
    <col collapsed="false" customWidth="true" hidden="false" outlineLevel="0" max="3" min="3" style="9" width="18"/>
    <col collapsed="false" customWidth="true" hidden="false" outlineLevel="0" max="5" min="4" style="9" width="16"/>
  </cols>
  <sheetData>
    <row r="1" customFormat="false" ht="15" hidden="false" customHeight="true" outlineLevel="0" collapsed="false">
      <c r="A1" s="15" t="s">
        <v>101</v>
      </c>
      <c r="B1" s="15" t="s">
        <v>102</v>
      </c>
      <c r="C1" s="15" t="s">
        <v>66</v>
      </c>
      <c r="D1" s="15" t="s">
        <v>67</v>
      </c>
      <c r="E1" s="15" t="s">
        <v>68</v>
      </c>
    </row>
    <row r="2" customFormat="false" ht="15" hidden="false" customHeight="true" outlineLevel="0" collapsed="false">
      <c r="A2" s="22" t="n">
        <v>18</v>
      </c>
      <c r="B2" s="23" t="s">
        <v>103</v>
      </c>
      <c r="C2" s="23" t="n">
        <v>10.75</v>
      </c>
      <c r="D2" s="23" t="n">
        <v>5.25</v>
      </c>
      <c r="E2" s="23" t="n">
        <v>5.5</v>
      </c>
    </row>
    <row r="3" customFormat="false" ht="15" hidden="false" customHeight="true" outlineLevel="0" collapsed="false">
      <c r="A3" s="22" t="n">
        <v>19</v>
      </c>
      <c r="B3" s="23" t="s">
        <v>104</v>
      </c>
      <c r="C3" s="23" t="n">
        <v>81.75</v>
      </c>
      <c r="D3" s="23" t="n">
        <v>26.75</v>
      </c>
      <c r="E3" s="23" t="n">
        <v>55</v>
      </c>
    </row>
    <row r="4" customFormat="false" ht="15" hidden="false" customHeight="true" outlineLevel="0" collapsed="false">
      <c r="A4" s="22" t="n">
        <v>20</v>
      </c>
      <c r="B4" s="23" t="s">
        <v>105</v>
      </c>
      <c r="C4" s="23" t="n">
        <v>72.25</v>
      </c>
      <c r="D4" s="23" t="n">
        <v>11.25</v>
      </c>
      <c r="E4" s="23" t="n">
        <v>61</v>
      </c>
    </row>
    <row r="5" customFormat="false" ht="15" hidden="false" customHeight="true" outlineLevel="0" collapsed="false">
      <c r="A5" s="22" t="n">
        <v>21</v>
      </c>
      <c r="B5" s="23" t="s">
        <v>106</v>
      </c>
      <c r="C5" s="23" t="n">
        <v>41.49</v>
      </c>
      <c r="D5" s="23" t="n">
        <v>0.33</v>
      </c>
      <c r="E5" s="23" t="n">
        <v>41.16</v>
      </c>
    </row>
    <row r="6" customFormat="false" ht="15" hidden="false" customHeight="true" outlineLevel="0" collapsed="false">
      <c r="A6" s="17" t="n">
        <v>22</v>
      </c>
      <c r="B6" s="16" t="s">
        <v>107</v>
      </c>
      <c r="C6" s="16" t="n">
        <v>30</v>
      </c>
      <c r="D6" s="16" t="n">
        <v>0</v>
      </c>
      <c r="E6" s="16" t="n">
        <v>30</v>
      </c>
    </row>
    <row r="7" customFormat="false" ht="15" hidden="false" customHeight="true" outlineLevel="0" collapsed="false">
      <c r="A7" s="20" t="s">
        <v>100</v>
      </c>
      <c r="B7" s="21"/>
      <c r="C7" s="20" t="n">
        <f aca="false">SUM(C2:C6)</f>
        <v>236.24</v>
      </c>
      <c r="D7" s="20" t="n">
        <f aca="false">SUM(D2:D6)</f>
        <v>43.58</v>
      </c>
      <c r="E7" s="20" t="n">
        <f aca="false">SUM(E2:E6)</f>
        <v>192.66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12"/>
    <col collapsed="false" customWidth="true" hidden="false" outlineLevel="0" max="2" min="2" style="9" width="22"/>
    <col collapsed="false" customWidth="true" hidden="false" outlineLevel="0" max="3" min="3" style="9" width="28"/>
    <col collapsed="false" customWidth="true" hidden="false" outlineLevel="0" max="4" min="4" style="9" width="30"/>
    <col collapsed="false" customWidth="true" hidden="false" outlineLevel="0" max="5" min="5" style="9" width="34"/>
    <col collapsed="false" customWidth="true" hidden="false" outlineLevel="0" max="6" min="6" style="9" width="8"/>
    <col collapsed="false" customWidth="true" hidden="false" outlineLevel="0" max="7" min="7" style="9" width="16"/>
    <col collapsed="false" customWidth="true" hidden="false" outlineLevel="0" max="8" min="8" style="9" width="10"/>
  </cols>
  <sheetData>
    <row r="1" customFormat="false" ht="15" hidden="false" customHeight="true" outlineLevel="0" collapsed="false">
      <c r="A1" s="15" t="s">
        <v>64</v>
      </c>
      <c r="B1" s="15" t="s">
        <v>108</v>
      </c>
      <c r="C1" s="15" t="s">
        <v>109</v>
      </c>
      <c r="D1" s="15" t="s">
        <v>110</v>
      </c>
      <c r="E1" s="15" t="s">
        <v>111</v>
      </c>
      <c r="F1" s="15" t="s">
        <v>112</v>
      </c>
      <c r="G1" s="15" t="s">
        <v>113</v>
      </c>
      <c r="H1" s="15" t="s">
        <v>114</v>
      </c>
    </row>
    <row r="2" customFormat="false" ht="15" hidden="false" customHeight="true" outlineLevel="0" collapsed="false">
      <c r="A2" s="16" t="s">
        <v>70</v>
      </c>
      <c r="B2" s="16" t="s">
        <v>115</v>
      </c>
      <c r="C2" s="16" t="s">
        <v>116</v>
      </c>
      <c r="D2" s="16" t="s">
        <v>117</v>
      </c>
      <c r="E2" s="16" t="s">
        <v>118</v>
      </c>
      <c r="F2" s="16" t="n">
        <v>1</v>
      </c>
      <c r="G2" s="16" t="n">
        <v>6</v>
      </c>
      <c r="H2" s="16" t="n">
        <v>10</v>
      </c>
    </row>
    <row r="3" customFormat="false" ht="15" hidden="false" customHeight="true" outlineLevel="0" collapsed="false">
      <c r="A3" s="16" t="s">
        <v>70</v>
      </c>
      <c r="B3" s="16" t="s">
        <v>119</v>
      </c>
      <c r="C3" s="16" t="s">
        <v>120</v>
      </c>
      <c r="D3" s="16" t="s">
        <v>121</v>
      </c>
      <c r="E3" s="16" t="s">
        <v>122</v>
      </c>
      <c r="F3" s="16" t="n">
        <v>2</v>
      </c>
      <c r="G3" s="16" t="n">
        <v>7</v>
      </c>
      <c r="H3" s="16" t="n">
        <v>11</v>
      </c>
    </row>
    <row r="4" customFormat="false" ht="15" hidden="false" customHeight="true" outlineLevel="0" collapsed="false">
      <c r="A4" s="16" t="s">
        <v>70</v>
      </c>
      <c r="B4" s="16" t="s">
        <v>119</v>
      </c>
      <c r="C4" s="16" t="s">
        <v>120</v>
      </c>
      <c r="D4" s="16" t="s">
        <v>121</v>
      </c>
      <c r="E4" s="16" t="s">
        <v>123</v>
      </c>
      <c r="F4" s="16" t="n">
        <v>2</v>
      </c>
      <c r="G4" s="16" t="n">
        <v>8</v>
      </c>
      <c r="H4" s="16" t="n">
        <v>12</v>
      </c>
    </row>
    <row r="5" customFormat="false" ht="15" hidden="false" customHeight="true" outlineLevel="0" collapsed="false">
      <c r="A5" s="16" t="s">
        <v>72</v>
      </c>
      <c r="B5" s="16" t="s">
        <v>124</v>
      </c>
      <c r="C5" s="16" t="s">
        <v>125</v>
      </c>
      <c r="D5" s="16" t="s">
        <v>126</v>
      </c>
      <c r="E5" s="16" t="s">
        <v>127</v>
      </c>
      <c r="F5" s="16" t="n">
        <v>0.25</v>
      </c>
      <c r="G5" s="16" t="n">
        <v>13</v>
      </c>
      <c r="H5" s="16" t="n">
        <v>14</v>
      </c>
    </row>
    <row r="6" customFormat="false" ht="15" hidden="false" customHeight="true" outlineLevel="0" collapsed="false">
      <c r="A6" s="16" t="s">
        <v>74</v>
      </c>
      <c r="B6" s="16" t="s">
        <v>115</v>
      </c>
      <c r="C6" s="16" t="s">
        <v>116</v>
      </c>
      <c r="D6" s="16" t="s">
        <v>117</v>
      </c>
      <c r="E6" s="16" t="s">
        <v>128</v>
      </c>
      <c r="F6" s="16" t="n">
        <v>2</v>
      </c>
      <c r="G6" s="16" t="n">
        <v>22</v>
      </c>
      <c r="H6" s="16" t="n">
        <v>31</v>
      </c>
    </row>
    <row r="7" customFormat="false" ht="15" hidden="false" customHeight="true" outlineLevel="0" collapsed="false">
      <c r="A7" s="16" t="s">
        <v>74</v>
      </c>
      <c r="B7" s="16" t="s">
        <v>115</v>
      </c>
      <c r="C7" s="16" t="s">
        <v>116</v>
      </c>
      <c r="D7" s="16" t="s">
        <v>117</v>
      </c>
      <c r="E7" s="16" t="s">
        <v>129</v>
      </c>
      <c r="F7" s="16" t="n">
        <v>0.25</v>
      </c>
      <c r="G7" s="16" t="n">
        <v>23</v>
      </c>
      <c r="H7" s="16" t="n">
        <v>33</v>
      </c>
    </row>
    <row r="8" customFormat="false" ht="15" hidden="false" customHeight="true" outlineLevel="0" collapsed="false">
      <c r="A8" s="16" t="s">
        <v>74</v>
      </c>
      <c r="B8" s="16" t="s">
        <v>130</v>
      </c>
      <c r="C8" s="16" t="s">
        <v>131</v>
      </c>
      <c r="D8" s="16" t="s">
        <v>132</v>
      </c>
      <c r="E8" s="16" t="s">
        <v>133</v>
      </c>
      <c r="F8" s="16" t="n">
        <v>0.25</v>
      </c>
      <c r="G8" s="16" t="n">
        <v>19</v>
      </c>
      <c r="H8" s="16" t="n">
        <v>34</v>
      </c>
    </row>
    <row r="9" customFormat="false" ht="15" hidden="false" customHeight="true" outlineLevel="0" collapsed="false">
      <c r="A9" s="16" t="s">
        <v>74</v>
      </c>
      <c r="B9" s="16" t="s">
        <v>115</v>
      </c>
      <c r="C9" s="16" t="s">
        <v>134</v>
      </c>
      <c r="D9" s="16" t="s">
        <v>135</v>
      </c>
      <c r="E9" s="16" t="s">
        <v>136</v>
      </c>
      <c r="F9" s="16" t="n">
        <v>0.25</v>
      </c>
      <c r="G9" s="16" t="n">
        <v>24</v>
      </c>
      <c r="H9" s="16" t="n">
        <v>37</v>
      </c>
    </row>
    <row r="10" customFormat="false" ht="15" hidden="false" customHeight="true" outlineLevel="0" collapsed="false">
      <c r="A10" s="16" t="s">
        <v>74</v>
      </c>
      <c r="B10" s="16" t="s">
        <v>115</v>
      </c>
      <c r="C10" s="16" t="s">
        <v>137</v>
      </c>
      <c r="D10" s="16" t="s">
        <v>138</v>
      </c>
      <c r="E10" s="16" t="s">
        <v>139</v>
      </c>
      <c r="F10" s="16" t="n">
        <v>0.75</v>
      </c>
      <c r="G10" s="16" t="n">
        <v>21</v>
      </c>
      <c r="H10" s="16" t="n">
        <v>39</v>
      </c>
    </row>
    <row r="11" customFormat="false" ht="15" hidden="false" customHeight="true" outlineLevel="0" collapsed="false">
      <c r="A11" s="16" t="s">
        <v>74</v>
      </c>
      <c r="B11" s="16" t="s">
        <v>140</v>
      </c>
      <c r="C11" s="16" t="s">
        <v>141</v>
      </c>
      <c r="D11" s="16" t="s">
        <v>142</v>
      </c>
      <c r="E11" s="16" t="s">
        <v>143</v>
      </c>
      <c r="F11" s="16" t="n">
        <v>0.75</v>
      </c>
      <c r="G11" s="16" t="n">
        <v>26</v>
      </c>
      <c r="H11" s="16" t="n">
        <v>40</v>
      </c>
    </row>
    <row r="12" customFormat="false" ht="15" hidden="false" customHeight="true" outlineLevel="0" collapsed="false">
      <c r="A12" s="16" t="s">
        <v>74</v>
      </c>
      <c r="B12" s="16" t="s">
        <v>119</v>
      </c>
      <c r="C12" s="16" t="s">
        <v>120</v>
      </c>
      <c r="D12" s="16" t="s">
        <v>121</v>
      </c>
      <c r="E12" s="16" t="s">
        <v>144</v>
      </c>
      <c r="F12" s="16" t="n">
        <v>1</v>
      </c>
      <c r="G12" s="16" t="n">
        <v>27</v>
      </c>
      <c r="H12" s="16" t="n">
        <v>41</v>
      </c>
    </row>
    <row r="13" customFormat="false" ht="15" hidden="false" customHeight="true" outlineLevel="0" collapsed="false">
      <c r="A13" s="16" t="s">
        <v>77</v>
      </c>
      <c r="B13" s="16" t="s">
        <v>145</v>
      </c>
      <c r="C13" s="16" t="s">
        <v>146</v>
      </c>
      <c r="D13" s="16" t="s">
        <v>147</v>
      </c>
      <c r="E13" s="16" t="s">
        <v>148</v>
      </c>
      <c r="F13" s="16" t="n">
        <v>0.25</v>
      </c>
      <c r="G13" s="16" t="n">
        <v>43</v>
      </c>
      <c r="H13" s="16" t="n">
        <v>53</v>
      </c>
    </row>
    <row r="14" customFormat="false" ht="15" hidden="false" customHeight="true" outlineLevel="0" collapsed="false">
      <c r="A14" s="16" t="s">
        <v>77</v>
      </c>
      <c r="B14" s="16" t="s">
        <v>149</v>
      </c>
      <c r="C14" s="16"/>
      <c r="D14" s="16" t="s">
        <v>150</v>
      </c>
      <c r="E14" s="16" t="s">
        <v>151</v>
      </c>
      <c r="F14" s="16" t="n">
        <v>0.5</v>
      </c>
      <c r="G14" s="16" t="n">
        <v>42</v>
      </c>
      <c r="H14" s="16" t="n">
        <v>54</v>
      </c>
    </row>
    <row r="15" customFormat="false" ht="15" hidden="false" customHeight="true" outlineLevel="0" collapsed="false">
      <c r="A15" s="16" t="s">
        <v>77</v>
      </c>
      <c r="B15" s="16" t="s">
        <v>115</v>
      </c>
      <c r="C15" s="16" t="s">
        <v>152</v>
      </c>
      <c r="D15" s="16" t="s">
        <v>153</v>
      </c>
      <c r="E15" s="16" t="s">
        <v>154</v>
      </c>
      <c r="F15" s="16" t="n">
        <v>1</v>
      </c>
      <c r="G15" s="16" t="n">
        <v>45</v>
      </c>
      <c r="H15" s="16" t="n">
        <v>56</v>
      </c>
    </row>
    <row r="16" customFormat="false" ht="15" hidden="false" customHeight="true" outlineLevel="0" collapsed="false">
      <c r="A16" s="16" t="s">
        <v>77</v>
      </c>
      <c r="B16" s="16" t="s">
        <v>145</v>
      </c>
      <c r="C16" s="16" t="s">
        <v>146</v>
      </c>
      <c r="D16" s="16" t="s">
        <v>147</v>
      </c>
      <c r="E16" s="16" t="s">
        <v>155</v>
      </c>
      <c r="F16" s="16" t="n">
        <v>0.25</v>
      </c>
      <c r="G16" s="16" t="n">
        <v>48</v>
      </c>
      <c r="H16" s="16" t="n">
        <v>59</v>
      </c>
    </row>
    <row r="17" customFormat="false" ht="15" hidden="false" customHeight="true" outlineLevel="0" collapsed="false">
      <c r="A17" s="16" t="s">
        <v>77</v>
      </c>
      <c r="B17" s="16" t="s">
        <v>149</v>
      </c>
      <c r="C17" s="16"/>
      <c r="D17" s="16" t="s">
        <v>150</v>
      </c>
      <c r="E17" s="16" t="s">
        <v>156</v>
      </c>
      <c r="F17" s="16" t="n">
        <v>0.5</v>
      </c>
      <c r="G17" s="16" t="n">
        <v>49</v>
      </c>
      <c r="H17" s="16" t="n">
        <v>60</v>
      </c>
    </row>
    <row r="18" customFormat="false" ht="15" hidden="false" customHeight="true" outlineLevel="0" collapsed="false">
      <c r="A18" s="16" t="s">
        <v>77</v>
      </c>
      <c r="B18" s="16" t="s">
        <v>119</v>
      </c>
      <c r="C18" s="16" t="s">
        <v>120</v>
      </c>
      <c r="D18" s="16" t="s">
        <v>121</v>
      </c>
      <c r="E18" s="16" t="s">
        <v>157</v>
      </c>
      <c r="F18" s="16" t="n">
        <v>0.75</v>
      </c>
      <c r="G18" s="16" t="n">
        <v>52</v>
      </c>
      <c r="H18" s="16" t="n">
        <v>63</v>
      </c>
    </row>
    <row r="19" customFormat="false" ht="15" hidden="false" customHeight="true" outlineLevel="0" collapsed="false">
      <c r="A19" s="16" t="s">
        <v>79</v>
      </c>
      <c r="B19" s="16" t="s">
        <v>119</v>
      </c>
      <c r="C19" s="16" t="s">
        <v>120</v>
      </c>
      <c r="D19" s="16" t="s">
        <v>121</v>
      </c>
      <c r="E19" s="16" t="s">
        <v>158</v>
      </c>
      <c r="F19" s="16" t="n">
        <v>0.25</v>
      </c>
      <c r="G19" s="16" t="n">
        <v>64</v>
      </c>
      <c r="H19" s="16" t="n">
        <v>70</v>
      </c>
    </row>
    <row r="20" customFormat="false" ht="15" hidden="false" customHeight="true" outlineLevel="0" collapsed="false">
      <c r="A20" s="16" t="s">
        <v>79</v>
      </c>
      <c r="B20" s="16" t="s">
        <v>159</v>
      </c>
      <c r="C20" s="16" t="s">
        <v>160</v>
      </c>
      <c r="D20" s="16" t="s">
        <v>161</v>
      </c>
      <c r="E20" s="16" t="s">
        <v>162</v>
      </c>
      <c r="F20" s="16" t="n">
        <v>2.5</v>
      </c>
      <c r="G20" s="16" t="n">
        <v>65</v>
      </c>
      <c r="H20" s="16" t="n">
        <v>72</v>
      </c>
    </row>
    <row r="21" customFormat="false" ht="15" hidden="false" customHeight="true" outlineLevel="0" collapsed="false">
      <c r="A21" s="16" t="s">
        <v>79</v>
      </c>
      <c r="B21" s="16" t="s">
        <v>159</v>
      </c>
      <c r="C21" s="16" t="s">
        <v>160</v>
      </c>
      <c r="D21" s="16" t="s">
        <v>161</v>
      </c>
      <c r="E21" s="16" t="s">
        <v>163</v>
      </c>
      <c r="F21" s="16" t="n">
        <v>1</v>
      </c>
      <c r="G21" s="16" t="n">
        <v>66</v>
      </c>
      <c r="H21" s="16" t="n">
        <v>73</v>
      </c>
    </row>
    <row r="22" customFormat="false" ht="15" hidden="false" customHeight="true" outlineLevel="0" collapsed="false">
      <c r="A22" s="16" t="s">
        <v>79</v>
      </c>
      <c r="B22" s="16" t="s">
        <v>159</v>
      </c>
      <c r="C22" s="16" t="s">
        <v>160</v>
      </c>
      <c r="D22" s="16" t="s">
        <v>161</v>
      </c>
      <c r="E22" s="16" t="s">
        <v>164</v>
      </c>
      <c r="F22" s="16" t="n">
        <v>2</v>
      </c>
      <c r="G22" s="16" t="n">
        <v>67</v>
      </c>
      <c r="H22" s="16" t="n">
        <v>74</v>
      </c>
    </row>
    <row r="23" customFormat="false" ht="15" hidden="false" customHeight="true" outlineLevel="0" collapsed="false">
      <c r="A23" s="16" t="s">
        <v>79</v>
      </c>
      <c r="B23" s="16" t="s">
        <v>115</v>
      </c>
      <c r="C23" s="16" t="s">
        <v>116</v>
      </c>
      <c r="D23" s="16" t="s">
        <v>117</v>
      </c>
      <c r="E23" s="16" t="s">
        <v>165</v>
      </c>
      <c r="F23" s="16" t="n">
        <v>1</v>
      </c>
      <c r="G23" s="16" t="n">
        <v>68</v>
      </c>
      <c r="H23" s="16" t="n">
        <v>75</v>
      </c>
    </row>
    <row r="24" customFormat="false" ht="15" hidden="false" customHeight="true" outlineLevel="0" collapsed="false">
      <c r="A24" s="16" t="s">
        <v>81</v>
      </c>
      <c r="B24" s="16" t="s">
        <v>115</v>
      </c>
      <c r="C24" s="16" t="s">
        <v>137</v>
      </c>
      <c r="D24" s="16" t="s">
        <v>138</v>
      </c>
      <c r="E24" s="16" t="s">
        <v>166</v>
      </c>
      <c r="F24" s="16" t="n">
        <v>1.5</v>
      </c>
      <c r="G24" s="16" t="n">
        <v>76</v>
      </c>
      <c r="H24" s="16" t="n">
        <v>87</v>
      </c>
    </row>
    <row r="25" customFormat="false" ht="15" hidden="false" customHeight="true" outlineLevel="0" collapsed="false">
      <c r="A25" s="16" t="s">
        <v>81</v>
      </c>
      <c r="B25" s="16" t="s">
        <v>159</v>
      </c>
      <c r="C25" s="16" t="s">
        <v>160</v>
      </c>
      <c r="D25" s="16" t="s">
        <v>161</v>
      </c>
      <c r="E25" s="16" t="s">
        <v>167</v>
      </c>
      <c r="F25" s="16" t="n">
        <v>0.75</v>
      </c>
      <c r="G25" s="16" t="n">
        <v>77</v>
      </c>
      <c r="H25" s="16" t="n">
        <v>89</v>
      </c>
    </row>
    <row r="26" customFormat="false" ht="15" hidden="false" customHeight="true" outlineLevel="0" collapsed="false">
      <c r="A26" s="16" t="s">
        <v>81</v>
      </c>
      <c r="B26" s="16" t="s">
        <v>124</v>
      </c>
      <c r="C26" s="16" t="s">
        <v>125</v>
      </c>
      <c r="D26" s="16" t="s">
        <v>168</v>
      </c>
      <c r="E26" s="16" t="s">
        <v>169</v>
      </c>
      <c r="F26" s="16" t="n">
        <v>0.25</v>
      </c>
      <c r="G26" s="16" t="n">
        <v>85</v>
      </c>
      <c r="H26" s="16" t="n">
        <v>91</v>
      </c>
    </row>
    <row r="27" customFormat="false" ht="15" hidden="false" customHeight="true" outlineLevel="0" collapsed="false">
      <c r="A27" s="16" t="s">
        <v>81</v>
      </c>
      <c r="B27" s="16" t="s">
        <v>115</v>
      </c>
      <c r="C27" s="16" t="s">
        <v>137</v>
      </c>
      <c r="D27" s="16" t="s">
        <v>138</v>
      </c>
      <c r="E27" s="16" t="s">
        <v>170</v>
      </c>
      <c r="F27" s="16" t="n">
        <v>1</v>
      </c>
      <c r="G27" s="16" t="n">
        <v>81</v>
      </c>
      <c r="H27" s="16" t="n">
        <v>93</v>
      </c>
    </row>
    <row r="28" customFormat="false" ht="15" hidden="false" customHeight="true" outlineLevel="0" collapsed="false">
      <c r="A28" s="16" t="s">
        <v>81</v>
      </c>
      <c r="B28" s="16" t="s">
        <v>115</v>
      </c>
      <c r="C28" s="16" t="s">
        <v>171</v>
      </c>
      <c r="D28" s="16" t="s">
        <v>172</v>
      </c>
      <c r="E28" s="16" t="s">
        <v>173</v>
      </c>
      <c r="F28" s="16" t="n">
        <v>0.75</v>
      </c>
      <c r="G28" s="16" t="n">
        <v>82</v>
      </c>
      <c r="H28" s="16" t="n">
        <v>94</v>
      </c>
    </row>
    <row r="29" customFormat="false" ht="15" hidden="false" customHeight="true" outlineLevel="0" collapsed="false">
      <c r="A29" s="16" t="s">
        <v>81</v>
      </c>
      <c r="B29" s="16" t="s">
        <v>124</v>
      </c>
      <c r="C29" s="16" t="s">
        <v>125</v>
      </c>
      <c r="D29" s="16" t="s">
        <v>168</v>
      </c>
      <c r="E29" s="16" t="s">
        <v>174</v>
      </c>
      <c r="F29" s="16" t="n">
        <v>1</v>
      </c>
      <c r="G29" s="16" t="n">
        <v>83</v>
      </c>
      <c r="H29" s="16" t="n">
        <v>95</v>
      </c>
    </row>
    <row r="30" customFormat="false" ht="15" hidden="false" customHeight="true" outlineLevel="0" collapsed="false">
      <c r="A30" s="16" t="s">
        <v>81</v>
      </c>
      <c r="B30" s="16" t="s">
        <v>140</v>
      </c>
      <c r="C30" s="16" t="s">
        <v>175</v>
      </c>
      <c r="D30" s="16" t="s">
        <v>176</v>
      </c>
      <c r="E30" s="16" t="s">
        <v>177</v>
      </c>
      <c r="F30" s="16" t="n">
        <v>1</v>
      </c>
      <c r="G30" s="16" t="n">
        <v>84</v>
      </c>
      <c r="H30" s="16" t="n">
        <v>96</v>
      </c>
    </row>
    <row r="31" customFormat="false" ht="15" hidden="false" customHeight="true" outlineLevel="0" collapsed="false">
      <c r="A31" s="16" t="s">
        <v>83</v>
      </c>
      <c r="B31" s="16" t="s">
        <v>115</v>
      </c>
      <c r="C31" s="16" t="s">
        <v>134</v>
      </c>
      <c r="D31" s="16" t="s">
        <v>135</v>
      </c>
      <c r="E31" s="16" t="s">
        <v>178</v>
      </c>
      <c r="F31" s="16" t="n">
        <v>1</v>
      </c>
      <c r="G31" s="16" t="n">
        <v>98</v>
      </c>
      <c r="H31" s="16" t="n">
        <v>107</v>
      </c>
    </row>
    <row r="32" customFormat="false" ht="15" hidden="false" customHeight="true" outlineLevel="0" collapsed="false">
      <c r="A32" s="16" t="s">
        <v>83</v>
      </c>
      <c r="B32" s="16" t="s">
        <v>115</v>
      </c>
      <c r="C32" s="16" t="s">
        <v>134</v>
      </c>
      <c r="D32" s="16" t="s">
        <v>135</v>
      </c>
      <c r="E32" s="16" t="s">
        <v>179</v>
      </c>
      <c r="F32" s="16" t="n">
        <v>0.25</v>
      </c>
      <c r="G32" s="16" t="n">
        <v>100</v>
      </c>
      <c r="H32" s="16" t="n">
        <v>111</v>
      </c>
    </row>
    <row r="33" customFormat="false" ht="15" hidden="false" customHeight="true" outlineLevel="0" collapsed="false">
      <c r="A33" s="16" t="s">
        <v>83</v>
      </c>
      <c r="B33" s="16" t="s">
        <v>115</v>
      </c>
      <c r="C33" s="16" t="s">
        <v>171</v>
      </c>
      <c r="D33" s="16" t="s">
        <v>172</v>
      </c>
      <c r="E33" s="16" t="s">
        <v>180</v>
      </c>
      <c r="F33" s="16" t="n">
        <v>1</v>
      </c>
      <c r="G33" s="16" t="n">
        <v>102</v>
      </c>
      <c r="H33" s="16" t="n">
        <v>112</v>
      </c>
    </row>
    <row r="34" customFormat="false" ht="15" hidden="false" customHeight="true" outlineLevel="0" collapsed="false">
      <c r="A34" s="16" t="s">
        <v>83</v>
      </c>
      <c r="B34" s="16" t="s">
        <v>119</v>
      </c>
      <c r="C34" s="16" t="s">
        <v>120</v>
      </c>
      <c r="D34" s="16" t="s">
        <v>121</v>
      </c>
      <c r="E34" s="16" t="s">
        <v>181</v>
      </c>
      <c r="F34" s="16" t="n">
        <v>1</v>
      </c>
      <c r="G34" s="16" t="n">
        <v>103</v>
      </c>
      <c r="H34" s="16" t="n">
        <v>113</v>
      </c>
    </row>
    <row r="35" customFormat="false" ht="15" hidden="false" customHeight="true" outlineLevel="0" collapsed="false">
      <c r="A35" s="16" t="s">
        <v>83</v>
      </c>
      <c r="B35" s="16" t="s">
        <v>115</v>
      </c>
      <c r="C35" s="16" t="s">
        <v>171</v>
      </c>
      <c r="D35" s="16" t="s">
        <v>172</v>
      </c>
      <c r="E35" s="16" t="s">
        <v>182</v>
      </c>
      <c r="F35" s="16" t="n">
        <v>2</v>
      </c>
      <c r="G35" s="16" t="n">
        <v>105</v>
      </c>
      <c r="H35" s="16" t="n">
        <v>114</v>
      </c>
    </row>
    <row r="36" customFormat="false" ht="15" hidden="false" customHeight="true" outlineLevel="0" collapsed="false">
      <c r="A36" s="16" t="s">
        <v>84</v>
      </c>
      <c r="B36" s="16" t="s">
        <v>115</v>
      </c>
      <c r="C36" s="16" t="s">
        <v>134</v>
      </c>
      <c r="D36" s="16" t="s">
        <v>183</v>
      </c>
      <c r="E36" s="16" t="s">
        <v>184</v>
      </c>
      <c r="F36" s="16" t="n">
        <v>3</v>
      </c>
      <c r="G36" s="16" t="n">
        <v>116</v>
      </c>
      <c r="H36" s="16" t="n">
        <v>120</v>
      </c>
    </row>
    <row r="37" customFormat="false" ht="15" hidden="false" customHeight="true" outlineLevel="0" collapsed="false">
      <c r="A37" s="16" t="s">
        <v>84</v>
      </c>
      <c r="B37" s="16" t="s">
        <v>115</v>
      </c>
      <c r="C37" s="16" t="s">
        <v>152</v>
      </c>
      <c r="D37" s="16" t="s">
        <v>185</v>
      </c>
      <c r="E37" s="16" t="s">
        <v>186</v>
      </c>
      <c r="F37" s="16" t="n">
        <v>2</v>
      </c>
      <c r="G37" s="16" t="n">
        <v>118</v>
      </c>
      <c r="H37" s="16" t="n">
        <v>122</v>
      </c>
    </row>
    <row r="38" customFormat="false" ht="15" hidden="false" customHeight="true" outlineLevel="0" collapsed="false">
      <c r="A38" s="16" t="s">
        <v>85</v>
      </c>
      <c r="B38" s="16" t="s">
        <v>115</v>
      </c>
      <c r="C38" s="16" t="s">
        <v>171</v>
      </c>
      <c r="D38" s="16" t="s">
        <v>187</v>
      </c>
      <c r="E38" s="16" t="s">
        <v>188</v>
      </c>
      <c r="F38" s="16" t="n">
        <v>0.25</v>
      </c>
      <c r="G38" s="16" t="n">
        <v>126</v>
      </c>
      <c r="H38" s="16" t="n">
        <v>129</v>
      </c>
    </row>
    <row r="39" customFormat="false" ht="15" hidden="false" customHeight="true" outlineLevel="0" collapsed="false">
      <c r="A39" s="16" t="s">
        <v>85</v>
      </c>
      <c r="B39" s="16" t="s">
        <v>115</v>
      </c>
      <c r="C39" s="16" t="s">
        <v>137</v>
      </c>
      <c r="D39" s="16" t="s">
        <v>138</v>
      </c>
      <c r="E39" s="16" t="s">
        <v>189</v>
      </c>
      <c r="F39" s="16" t="n">
        <v>1</v>
      </c>
      <c r="G39" s="16" t="n">
        <v>127</v>
      </c>
      <c r="H39" s="16" t="n">
        <v>131</v>
      </c>
    </row>
    <row r="40" customFormat="false" ht="15" hidden="false" customHeight="true" outlineLevel="0" collapsed="false">
      <c r="A40" s="16" t="s">
        <v>86</v>
      </c>
      <c r="B40" s="16" t="s">
        <v>115</v>
      </c>
      <c r="C40" s="16" t="s">
        <v>171</v>
      </c>
      <c r="D40" s="16" t="s">
        <v>187</v>
      </c>
      <c r="E40" s="16" t="s">
        <v>190</v>
      </c>
      <c r="F40" s="16" t="n">
        <v>0.25</v>
      </c>
      <c r="G40" s="16" t="n">
        <v>135</v>
      </c>
      <c r="H40" s="16" t="n">
        <v>140</v>
      </c>
    </row>
    <row r="41" customFormat="false" ht="15" hidden="false" customHeight="true" outlineLevel="0" collapsed="false">
      <c r="A41" s="16" t="s">
        <v>86</v>
      </c>
      <c r="B41" s="16" t="s">
        <v>140</v>
      </c>
      <c r="C41" s="16" t="s">
        <v>191</v>
      </c>
      <c r="D41" s="16" t="s">
        <v>192</v>
      </c>
      <c r="E41" s="16" t="s">
        <v>193</v>
      </c>
      <c r="F41" s="16" t="n">
        <v>0.25</v>
      </c>
      <c r="G41" s="16" t="n">
        <v>136</v>
      </c>
      <c r="H41" s="16" t="n">
        <v>141</v>
      </c>
    </row>
    <row r="42" customFormat="false" ht="15" hidden="false" customHeight="true" outlineLevel="0" collapsed="false">
      <c r="A42" s="16" t="s">
        <v>86</v>
      </c>
      <c r="B42" s="16" t="s">
        <v>115</v>
      </c>
      <c r="C42" s="16" t="s">
        <v>171</v>
      </c>
      <c r="D42" s="16" t="s">
        <v>187</v>
      </c>
      <c r="E42" s="16" t="s">
        <v>194</v>
      </c>
      <c r="F42" s="16" t="n">
        <v>3</v>
      </c>
      <c r="G42" s="16" t="n">
        <v>138</v>
      </c>
      <c r="H42" s="16" t="n">
        <v>144</v>
      </c>
    </row>
    <row r="43" customFormat="false" ht="15" hidden="false" customHeight="true" outlineLevel="0" collapsed="false">
      <c r="A43" s="16" t="s">
        <v>86</v>
      </c>
      <c r="B43" s="16" t="s">
        <v>115</v>
      </c>
      <c r="C43" s="16" t="s">
        <v>171</v>
      </c>
      <c r="D43" s="16" t="s">
        <v>187</v>
      </c>
      <c r="E43" s="16" t="s">
        <v>195</v>
      </c>
      <c r="F43" s="16" t="n">
        <v>1</v>
      </c>
      <c r="G43" s="16" t="n">
        <v>139</v>
      </c>
      <c r="H43" s="16" t="n">
        <v>145</v>
      </c>
    </row>
    <row r="44" customFormat="false" ht="15" hidden="false" customHeight="true" outlineLevel="0" collapsed="false">
      <c r="A44" s="16" t="s">
        <v>89</v>
      </c>
      <c r="B44" s="16" t="s">
        <v>124</v>
      </c>
      <c r="C44" s="16" t="s">
        <v>125</v>
      </c>
      <c r="D44" s="16" t="s">
        <v>126</v>
      </c>
      <c r="E44" s="16" t="s">
        <v>196</v>
      </c>
      <c r="F44" s="16" t="n">
        <v>0.5</v>
      </c>
      <c r="G44" s="16" t="n">
        <v>149</v>
      </c>
      <c r="H44" s="16" t="n">
        <v>150</v>
      </c>
    </row>
    <row r="45" customFormat="false" ht="15" hidden="false" customHeight="true" outlineLevel="0" collapsed="false">
      <c r="A45" s="16" t="s">
        <v>90</v>
      </c>
      <c r="B45" s="16" t="s">
        <v>124</v>
      </c>
      <c r="C45" s="16" t="s">
        <v>125</v>
      </c>
      <c r="D45" s="16" t="s">
        <v>126</v>
      </c>
      <c r="E45" s="16" t="s">
        <v>197</v>
      </c>
      <c r="F45" s="16" t="n">
        <v>0.33</v>
      </c>
      <c r="G45" s="16" t="n">
        <v>152</v>
      </c>
      <c r="H45" s="16" t="n">
        <v>155</v>
      </c>
    </row>
    <row r="46" customFormat="false" ht="15" hidden="false" customHeight="true" outlineLevel="0" collapsed="false">
      <c r="E46" s="11" t="s">
        <v>198</v>
      </c>
      <c r="F46" s="11" t="n">
        <f aca="false">SUM(F2:F45)</f>
        <v>43.58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2026-06-08T18:39:32Z</dcterms:created>
  <dc:creator>openpyxl</dc:creator>
  <dc:description/>
  <dc:language>en-US</dc:language>
  <cp:lastModifiedBy/>
  <dcterms:modified xsi:type="dcterms:W3CDTF">2026-06-08T19:15:55Z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